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ocuments\"/>
    </mc:Choice>
  </mc:AlternateContent>
  <xr:revisionPtr revIDLastSave="0" documentId="13_ncr:1_{9DE5FBFA-69A6-4248-9C71-57B5D687BD6E}" xr6:coauthVersionLast="47" xr6:coauthVersionMax="47" xr10:uidLastSave="{00000000-0000-0000-0000-000000000000}"/>
  <bookViews>
    <workbookView xWindow="-120" yWindow="-120" windowWidth="29040" windowHeight="15720" activeTab="2" xr2:uid="{4EAD2BBB-848C-43EA-BAFB-B37230D1EE83}"/>
  </bookViews>
  <sheets>
    <sheet name="Banco De Ingredientes" sheetId="1" r:id="rId1"/>
    <sheet name="Ficha Técnica (A Receita)" sheetId="2" r:id="rId2"/>
    <sheet name="Precificação Fin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F4" i="1"/>
  <c r="E4" i="2" s="1"/>
  <c r="F5" i="1"/>
  <c r="E6" i="2" s="1"/>
  <c r="F6" i="1"/>
  <c r="E9" i="2" s="1"/>
  <c r="F7" i="1"/>
  <c r="E5" i="2" s="1"/>
  <c r="F8" i="1"/>
  <c r="E7" i="2" s="1"/>
  <c r="F9" i="1"/>
  <c r="E11" i="2" s="1"/>
  <c r="F10" i="1"/>
  <c r="E10" i="2" s="1"/>
  <c r="F11" i="1"/>
  <c r="F12" i="1"/>
  <c r="F13" i="1"/>
  <c r="F14" i="1"/>
  <c r="E8" i="2" s="1"/>
  <c r="F3" i="1"/>
  <c r="E3" i="2" s="1"/>
  <c r="C3" i="3" s="1"/>
  <c r="F3" i="3" s="1"/>
  <c r="H3" i="3" s="1"/>
  <c r="C4" i="3" l="1"/>
  <c r="F4" i="3" s="1"/>
  <c r="H4" i="3" s="1"/>
</calcChain>
</file>

<file path=xl/sharedStrings.xml><?xml version="1.0" encoding="utf-8"?>
<sst xmlns="http://schemas.openxmlformats.org/spreadsheetml/2006/main" count="62" uniqueCount="33">
  <si>
    <t>Nome do Ingrediente</t>
  </si>
  <si>
    <t>Unidade de Compra (kg, g, litro, unidade)</t>
  </si>
  <si>
    <t>Quantidade na Embalagem</t>
  </si>
  <si>
    <t>Preço Pago</t>
  </si>
  <si>
    <t>Custo por unidade (1g ou 1ml)</t>
  </si>
  <si>
    <t>Nome da Receita</t>
  </si>
  <si>
    <t>Ingrediente</t>
  </si>
  <si>
    <t>Quantidade Usada na Receita</t>
  </si>
  <si>
    <t>Custo do Ingrediente na Receita</t>
  </si>
  <si>
    <t>Nome do Doce</t>
  </si>
  <si>
    <t>Custo Total dos Ingredientes</t>
  </si>
  <si>
    <t xml:space="preserve">Custos Fixos e Embalagem </t>
  </si>
  <si>
    <t>Margem de Lucro Esperada (%)</t>
  </si>
  <si>
    <t>Farinha de Trigo</t>
  </si>
  <si>
    <t>g</t>
  </si>
  <si>
    <t>Açúcar Refinado</t>
  </si>
  <si>
    <t>Chocolate Meio Amargo</t>
  </si>
  <si>
    <t>Manteiga sem Sal</t>
  </si>
  <si>
    <t>Ovos</t>
  </si>
  <si>
    <t>Leite Condensado</t>
  </si>
  <si>
    <t>Creme de Leite</t>
  </si>
  <si>
    <t>Fermento em Pó</t>
  </si>
  <si>
    <t>Leite Integral</t>
  </si>
  <si>
    <t>Gelatina Incolor</t>
  </si>
  <si>
    <t>Essência de Baunilha</t>
  </si>
  <si>
    <t>unidade</t>
  </si>
  <si>
    <t>ml</t>
  </si>
  <si>
    <t>Chocolate em Pó 50%</t>
  </si>
  <si>
    <t>Brownie</t>
  </si>
  <si>
    <t>Mousse de Chocolate</t>
  </si>
  <si>
    <t>Rendimento (Unid.)</t>
  </si>
  <si>
    <t>Preço por Unid.</t>
  </si>
  <si>
    <t>Valor da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</si>
</sst>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2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0" fillId="2" borderId="0" xfId="0" applyFill="1"/>
    <xf numFmtId="0" fontId="0" fillId="2" borderId="0" xfId="0" applyFill="1" applyAlignment="1">
      <alignment horizontal="center" vertical="top"/>
    </xf>
    <xf numFmtId="0" fontId="3" fillId="2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 applyAlignment="1">
      <alignment horizontal="right"/>
    </xf>
    <xf numFmtId="9" fontId="0" fillId="0" borderId="1" xfId="2" applyFont="1" applyBorder="1" applyAlignment="1">
      <alignment horizontal="right"/>
    </xf>
    <xf numFmtId="4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1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right" vertical="top"/>
    </xf>
    <xf numFmtId="44" fontId="0" fillId="0" borderId="1" xfId="1" applyFont="1" applyBorder="1" applyAlignment="1">
      <alignment horizontal="right" vertical="top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20C4-F6C8-43EE-A048-61F7DF836EF7}">
  <dimension ref="A1:F14"/>
  <sheetViews>
    <sheetView showGridLines="0" zoomScaleNormal="100" workbookViewId="0">
      <selection activeCell="L13" sqref="L13"/>
    </sheetView>
  </sheetViews>
  <sheetFormatPr defaultRowHeight="14.25"/>
  <cols>
    <col min="1" max="1" width="1.875" style="6" customWidth="1"/>
    <col min="2" max="2" width="19.75" style="1" bestFit="1" customWidth="1"/>
    <col min="3" max="3" width="23" style="1" customWidth="1"/>
    <col min="4" max="4" width="17.875" style="1" customWidth="1"/>
    <col min="5" max="5" width="10.5" style="1" bestFit="1" customWidth="1"/>
    <col min="6" max="6" width="21.125" style="1" customWidth="1"/>
    <col min="7" max="7" width="9.625" bestFit="1" customWidth="1"/>
    <col min="8" max="8" width="7.125" bestFit="1" customWidth="1"/>
    <col min="9" max="9" width="8.25" bestFit="1" customWidth="1"/>
  </cols>
  <sheetData>
    <row r="1" spans="1:6" s="6" customFormat="1" ht="12" customHeight="1">
      <c r="B1" s="7"/>
      <c r="C1" s="7"/>
      <c r="D1" s="7"/>
      <c r="E1" s="7"/>
      <c r="F1" s="7"/>
    </row>
    <row r="2" spans="1:6" s="2" customFormat="1" ht="28.5" customHeight="1">
      <c r="A2" s="8"/>
      <c r="B2" s="10" t="s">
        <v>0</v>
      </c>
      <c r="C2" s="11" t="s">
        <v>1</v>
      </c>
      <c r="D2" s="11" t="s">
        <v>2</v>
      </c>
      <c r="E2" s="10" t="s">
        <v>3</v>
      </c>
      <c r="F2" s="11" t="s">
        <v>4</v>
      </c>
    </row>
    <row r="3" spans="1:6">
      <c r="B3" s="20" t="s">
        <v>13</v>
      </c>
      <c r="C3" s="21" t="s">
        <v>14</v>
      </c>
      <c r="D3" s="22">
        <v>1000</v>
      </c>
      <c r="E3" s="23">
        <v>5.5</v>
      </c>
      <c r="F3" s="22">
        <f>E3/D3</f>
        <v>5.4999999999999997E-3</v>
      </c>
    </row>
    <row r="4" spans="1:6">
      <c r="B4" s="20" t="s">
        <v>15</v>
      </c>
      <c r="C4" s="21" t="s">
        <v>14</v>
      </c>
      <c r="D4" s="22">
        <v>1000</v>
      </c>
      <c r="E4" s="23">
        <v>4.8</v>
      </c>
      <c r="F4" s="22">
        <f t="shared" ref="F4:F14" si="0">E4/D4</f>
        <v>4.7999999999999996E-3</v>
      </c>
    </row>
    <row r="5" spans="1:6">
      <c r="B5" s="20" t="s">
        <v>27</v>
      </c>
      <c r="C5" s="21" t="s">
        <v>14</v>
      </c>
      <c r="D5" s="22">
        <v>500</v>
      </c>
      <c r="E5" s="23">
        <v>15</v>
      </c>
      <c r="F5" s="22">
        <f t="shared" si="0"/>
        <v>0.03</v>
      </c>
    </row>
    <row r="6" spans="1:6">
      <c r="B6" s="20" t="s">
        <v>16</v>
      </c>
      <c r="C6" s="21" t="s">
        <v>14</v>
      </c>
      <c r="D6" s="22">
        <v>1000</v>
      </c>
      <c r="E6" s="23">
        <v>45</v>
      </c>
      <c r="F6" s="22">
        <f t="shared" si="0"/>
        <v>4.4999999999999998E-2</v>
      </c>
    </row>
    <row r="7" spans="1:6">
      <c r="B7" s="20" t="s">
        <v>17</v>
      </c>
      <c r="C7" s="21" t="s">
        <v>14</v>
      </c>
      <c r="D7" s="22">
        <v>200</v>
      </c>
      <c r="E7" s="23">
        <v>12</v>
      </c>
      <c r="F7" s="22">
        <f t="shared" si="0"/>
        <v>0.06</v>
      </c>
    </row>
    <row r="8" spans="1:6">
      <c r="B8" s="20" t="s">
        <v>18</v>
      </c>
      <c r="C8" s="21" t="s">
        <v>25</v>
      </c>
      <c r="D8" s="22">
        <v>12</v>
      </c>
      <c r="E8" s="23">
        <v>10</v>
      </c>
      <c r="F8" s="22">
        <f t="shared" si="0"/>
        <v>0.83333333333333337</v>
      </c>
    </row>
    <row r="9" spans="1:6">
      <c r="B9" s="20" t="s">
        <v>19</v>
      </c>
      <c r="C9" s="21" t="s">
        <v>14</v>
      </c>
      <c r="D9" s="22">
        <v>395</v>
      </c>
      <c r="E9" s="23">
        <v>6.5</v>
      </c>
      <c r="F9" s="22">
        <f t="shared" si="0"/>
        <v>1.6455696202531647E-2</v>
      </c>
    </row>
    <row r="10" spans="1:6">
      <c r="B10" s="20" t="s">
        <v>20</v>
      </c>
      <c r="C10" s="21" t="s">
        <v>14</v>
      </c>
      <c r="D10" s="22">
        <v>200</v>
      </c>
      <c r="E10" s="23">
        <v>4</v>
      </c>
      <c r="F10" s="22">
        <f t="shared" si="0"/>
        <v>0.02</v>
      </c>
    </row>
    <row r="11" spans="1:6">
      <c r="B11" s="20" t="s">
        <v>21</v>
      </c>
      <c r="C11" s="21" t="s">
        <v>14</v>
      </c>
      <c r="D11" s="22">
        <v>100</v>
      </c>
      <c r="E11" s="23">
        <v>3.5</v>
      </c>
      <c r="F11" s="22">
        <f t="shared" si="0"/>
        <v>3.5000000000000003E-2</v>
      </c>
    </row>
    <row r="12" spans="1:6">
      <c r="B12" s="20" t="s">
        <v>22</v>
      </c>
      <c r="C12" s="21" t="s">
        <v>26</v>
      </c>
      <c r="D12" s="22">
        <v>1000</v>
      </c>
      <c r="E12" s="23">
        <v>5</v>
      </c>
      <c r="F12" s="22">
        <f t="shared" si="0"/>
        <v>5.0000000000000001E-3</v>
      </c>
    </row>
    <row r="13" spans="1:6">
      <c r="B13" s="20" t="s">
        <v>23</v>
      </c>
      <c r="C13" s="21" t="s">
        <v>14</v>
      </c>
      <c r="D13" s="22">
        <v>24</v>
      </c>
      <c r="E13" s="23">
        <v>4.5</v>
      </c>
      <c r="F13" s="22">
        <f t="shared" si="0"/>
        <v>0.1875</v>
      </c>
    </row>
    <row r="14" spans="1:6">
      <c r="B14" s="20" t="s">
        <v>24</v>
      </c>
      <c r="C14" s="21" t="s">
        <v>26</v>
      </c>
      <c r="D14" s="22">
        <v>30</v>
      </c>
      <c r="E14" s="23">
        <v>6</v>
      </c>
      <c r="F14" s="22">
        <f t="shared" si="0"/>
        <v>0.2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6AB6-BFF9-49B3-9325-B913AAD93E12}">
  <dimension ref="A1:G12"/>
  <sheetViews>
    <sheetView showGridLines="0" zoomScaleNormal="100" workbookViewId="0">
      <selection sqref="A1:A1048576"/>
    </sheetView>
  </sheetViews>
  <sheetFormatPr defaultRowHeight="15"/>
  <cols>
    <col min="1" max="1" width="1.875" style="6" customWidth="1"/>
    <col min="2" max="2" width="18.375" style="3" customWidth="1"/>
    <col min="3" max="3" width="20.625" style="3" customWidth="1"/>
    <col min="4" max="4" width="22" style="3" customWidth="1"/>
    <col min="5" max="5" width="24.625" style="3" customWidth="1"/>
    <col min="6" max="7" width="9" style="3"/>
  </cols>
  <sheetData>
    <row r="1" spans="1:7" s="6" customFormat="1" ht="12" customHeight="1">
      <c r="B1" s="25"/>
      <c r="C1" s="25"/>
      <c r="D1" s="25"/>
      <c r="E1" s="25"/>
      <c r="F1" s="25"/>
      <c r="G1" s="25"/>
    </row>
    <row r="2" spans="1:7" s="5" customFormat="1" ht="28.5" customHeight="1">
      <c r="A2" s="26"/>
      <c r="B2" s="10" t="s">
        <v>5</v>
      </c>
      <c r="C2" s="10" t="s">
        <v>6</v>
      </c>
      <c r="D2" s="11" t="s">
        <v>7</v>
      </c>
      <c r="E2" s="11" t="s">
        <v>8</v>
      </c>
      <c r="F2" s="4"/>
      <c r="G2" s="4"/>
    </row>
    <row r="3" spans="1:7" ht="15.75" customHeight="1">
      <c r="B3" s="17" t="s">
        <v>28</v>
      </c>
      <c r="C3" s="17" t="s">
        <v>13</v>
      </c>
      <c r="D3" s="18">
        <v>200</v>
      </c>
      <c r="E3" s="19">
        <f>VLOOKUP(C3, 'Banco De Ingredientes'!B:F, 5, 0) * D3</f>
        <v>1.0999999999999999</v>
      </c>
    </row>
    <row r="4" spans="1:7" ht="15.75" customHeight="1">
      <c r="B4" s="17" t="s">
        <v>28</v>
      </c>
      <c r="C4" s="17" t="s">
        <v>15</v>
      </c>
      <c r="D4" s="18">
        <v>300</v>
      </c>
      <c r="E4" s="19">
        <f>VLOOKUP(C4, 'Banco De Ingredientes'!B:F, 5, 0) * D4</f>
        <v>1.44</v>
      </c>
    </row>
    <row r="5" spans="1:7">
      <c r="B5" s="17" t="s">
        <v>28</v>
      </c>
      <c r="C5" s="17" t="s">
        <v>17</v>
      </c>
      <c r="D5" s="18">
        <v>200</v>
      </c>
      <c r="E5" s="19">
        <f>VLOOKUP(C5, 'Banco De Ingredientes'!B:F, 5, 0) * D5</f>
        <v>12</v>
      </c>
    </row>
    <row r="6" spans="1:7">
      <c r="B6" s="17" t="s">
        <v>28</v>
      </c>
      <c r="C6" s="17" t="s">
        <v>27</v>
      </c>
      <c r="D6" s="18">
        <v>150</v>
      </c>
      <c r="E6" s="19">
        <f>VLOOKUP(C6, 'Banco De Ingredientes'!B:F, 5, 0) * D6</f>
        <v>4.5</v>
      </c>
    </row>
    <row r="7" spans="1:7">
      <c r="B7" s="17" t="s">
        <v>28</v>
      </c>
      <c r="C7" s="17" t="s">
        <v>18</v>
      </c>
      <c r="D7" s="18">
        <v>4</v>
      </c>
      <c r="E7" s="19">
        <f>VLOOKUP(C7, 'Banco De Ingredientes'!B:F, 5, 0) * D7</f>
        <v>3.3333333333333335</v>
      </c>
    </row>
    <row r="8" spans="1:7">
      <c r="B8" s="17" t="s">
        <v>28</v>
      </c>
      <c r="C8" s="17" t="s">
        <v>24</v>
      </c>
      <c r="D8" s="18">
        <v>10</v>
      </c>
      <c r="E8" s="19">
        <f>VLOOKUP(C8, 'Banco De Ingredientes'!B:F, 5, 0) * D8</f>
        <v>2</v>
      </c>
    </row>
    <row r="9" spans="1:7">
      <c r="B9" s="17" t="s">
        <v>29</v>
      </c>
      <c r="C9" s="17" t="s">
        <v>16</v>
      </c>
      <c r="D9" s="18">
        <v>300</v>
      </c>
      <c r="E9" s="19">
        <f>VLOOKUP(C9, 'Banco De Ingredientes'!B:F, 5, 0) * D9</f>
        <v>13.5</v>
      </c>
    </row>
    <row r="10" spans="1:7">
      <c r="B10" s="17" t="s">
        <v>29</v>
      </c>
      <c r="C10" s="17" t="s">
        <v>20</v>
      </c>
      <c r="D10" s="18">
        <v>200</v>
      </c>
      <c r="E10" s="19">
        <f>VLOOKUP(C10, 'Banco De Ingredientes'!B:F, 5, 0) * D10</f>
        <v>4</v>
      </c>
    </row>
    <row r="11" spans="1:7">
      <c r="B11" s="17" t="s">
        <v>29</v>
      </c>
      <c r="C11" s="17" t="s">
        <v>19</v>
      </c>
      <c r="D11" s="18">
        <v>395</v>
      </c>
      <c r="E11" s="19">
        <f>VLOOKUP(C11, 'Banco De Ingredientes'!B:F, 5, 0) * D11</f>
        <v>6.5</v>
      </c>
    </row>
    <row r="12" spans="1:7">
      <c r="B12" s="17" t="s">
        <v>29</v>
      </c>
      <c r="C12" s="17" t="s">
        <v>23</v>
      </c>
      <c r="D12" s="18">
        <v>12</v>
      </c>
      <c r="E12" s="19">
        <f>VLOOKUP(C12, 'Banco De Ingredientes'!B:F, 5, 0) * D12</f>
        <v>2.25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1145-A968-495E-82CE-80C88679F061}">
  <dimension ref="A1:H4"/>
  <sheetViews>
    <sheetView showGridLines="0" tabSelected="1" workbookViewId="0">
      <selection activeCell="F9" sqref="F9"/>
    </sheetView>
  </sheetViews>
  <sheetFormatPr defaultRowHeight="14.25"/>
  <cols>
    <col min="1" max="1" width="1.875" style="6" customWidth="1"/>
    <col min="2" max="2" width="19.625" customWidth="1"/>
    <col min="3" max="3" width="22.625" customWidth="1"/>
    <col min="4" max="4" width="22.75" customWidth="1"/>
    <col min="5" max="5" width="20.25" customWidth="1"/>
    <col min="6" max="6" width="20.125" bestFit="1" customWidth="1"/>
    <col min="7" max="7" width="18.375" customWidth="1"/>
    <col min="8" max="8" width="17.75" customWidth="1"/>
  </cols>
  <sheetData>
    <row r="1" spans="1:8" s="6" customFormat="1" ht="12" customHeight="1"/>
    <row r="2" spans="1:8" s="9" customFormat="1" ht="28.5" customHeight="1">
      <c r="A2" s="24"/>
      <c r="B2" s="10" t="s">
        <v>9</v>
      </c>
      <c r="C2" s="11" t="s">
        <v>10</v>
      </c>
      <c r="D2" s="11" t="s">
        <v>11</v>
      </c>
      <c r="E2" s="11" t="s">
        <v>12</v>
      </c>
      <c r="F2" s="11" t="s">
        <v>32</v>
      </c>
      <c r="G2" s="10" t="s">
        <v>30</v>
      </c>
      <c r="H2" s="10" t="s">
        <v>31</v>
      </c>
    </row>
    <row r="3" spans="1:8">
      <c r="B3" s="12" t="s">
        <v>28</v>
      </c>
      <c r="C3" s="13">
        <f>SUMIFS('Ficha Técnica (A Receita)'!E:E, 'Ficha Técnica (A Receita)'!B:B, B3)</f>
        <v>24.373333333333331</v>
      </c>
      <c r="D3" s="13">
        <v>3</v>
      </c>
      <c r="E3" s="14">
        <v>0.5</v>
      </c>
      <c r="F3" s="15">
        <f>(C3+D3)*(1+E3)</f>
        <v>41.059999999999995</v>
      </c>
      <c r="G3" s="16">
        <v>10</v>
      </c>
      <c r="H3" s="15">
        <f>F3/G3</f>
        <v>4.1059999999999999</v>
      </c>
    </row>
    <row r="4" spans="1:8">
      <c r="B4" s="12" t="s">
        <v>29</v>
      </c>
      <c r="C4" s="13">
        <f>SUMIFS('Ficha Técnica (A Receita)'!E:E, 'Ficha Técnica (A Receita)'!B:B, B4)</f>
        <v>26.25</v>
      </c>
      <c r="D4" s="13">
        <v>3</v>
      </c>
      <c r="E4" s="14">
        <v>0.6</v>
      </c>
      <c r="F4" s="15">
        <f>(C4+D4)*(1+E4)</f>
        <v>46.800000000000004</v>
      </c>
      <c r="G4" s="16">
        <v>6</v>
      </c>
      <c r="H4" s="15">
        <f>F4/G4</f>
        <v>7.8000000000000007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Banco De Ingredientes</vt:lpstr>
      <vt:lpstr>Ficha Técnica (A Receita)</vt:lpstr>
      <vt:lpstr>Precificação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D.</dc:creator>
  <cp:lastModifiedBy>Victoria D.</cp:lastModifiedBy>
  <dcterms:created xsi:type="dcterms:W3CDTF">2026-03-15T19:59:06Z</dcterms:created>
  <dcterms:modified xsi:type="dcterms:W3CDTF">2026-03-16T17:49:55Z</dcterms:modified>
</cp:coreProperties>
</file>